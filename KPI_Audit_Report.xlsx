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b val="1"/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indent="1"/>
    </xf>
    <xf numFmtId="0" fontId="3" fillId="0" borderId="1" applyAlignment="1" pivotButton="0" quotePrefix="0" xfId="0">
      <alignment vertical="center" indent="1"/>
    </xf>
    <xf numFmtId="0" fontId="4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inden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indent="1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inden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48" customWidth="1" min="4" max="4"/>
    <col width="48" customWidth="1" min="5" max="5"/>
    <col width="30" customWidth="1" min="6" max="6"/>
    <col width="18" customWidth="1" min="7" max="7"/>
  </cols>
  <sheetData>
    <row r="1" ht="36" customHeight="1">
      <c r="A1" s="1" t="inlineStr">
        <is>
          <t>Sr No</t>
        </is>
      </c>
      <c r="B1" s="1" t="inlineStr">
        <is>
          <t>Module (Excel Sheet)</t>
        </is>
      </c>
      <c r="C1" s="1" t="inlineStr">
        <is>
          <t>KPI / Formula Name</t>
        </is>
      </c>
      <c r="D1" s="1" t="inlineStr">
        <is>
          <t>Client Formula (Excel)</t>
        </is>
      </c>
      <c r="E1" s="1" t="inlineStr">
        <is>
          <t>Our Backend Formula</t>
        </is>
      </c>
      <c r="F1" s="1" t="inlineStr">
        <is>
          <t>Page Used</t>
        </is>
      </c>
      <c r="G1" s="1" t="inlineStr">
        <is>
          <t>Status</t>
        </is>
      </c>
    </row>
    <row r="2" ht="20" customHeight="1">
      <c r="A2" s="2" t="inlineStr">
        <is>
          <t xml:space="preserve">  MODULE 1 — INCIDENTS &amp; EVENTS</t>
        </is>
      </c>
    </row>
    <row r="3" ht="52" customHeight="1">
      <c r="A3" s="3" t="n">
        <v>1</v>
      </c>
      <c r="B3" s="3" t="inlineStr">
        <is>
          <t>M1 - Incidents</t>
        </is>
      </c>
      <c r="C3" s="3" t="inlineStr">
        <is>
          <t>TRIR (Total Recordable Injury Rate)</t>
        </is>
      </c>
      <c r="D3" s="3" t="inlineStr">
        <is>
          <t>(Recordable Injuries × 200,000) ÷ Total Man-Hours</t>
        </is>
      </c>
      <c r="E3" s="3" t="inlineStr">
        <is>
          <t>N/A — shift_schedule has 0 rows for org_id=1 (no man-hours data)</t>
        </is>
      </c>
      <c r="F3" s="3" t="inlineStr">
        <is>
          <t>/violations</t>
        </is>
      </c>
      <c r="G3" s="4" t="inlineStr">
        <is>
          <t>❌ Data Gap</t>
        </is>
      </c>
    </row>
    <row r="4" ht="52" customHeight="1">
      <c r="A4" s="3" t="n">
        <v>2</v>
      </c>
      <c r="B4" s="3" t="inlineStr">
        <is>
          <t>M1 - Incidents</t>
        </is>
      </c>
      <c r="C4" s="3" t="inlineStr">
        <is>
          <t>LTIFR (Lost Time Injury Frequency Rate)</t>
        </is>
      </c>
      <c r="D4" s="3" t="inlineStr">
        <is>
          <t>(LTIs × 1,000,000) ÷ Total Man-Hours</t>
        </is>
      </c>
      <c r="E4" s="3" t="inlineStr">
        <is>
          <t>N/A — same man-hours data gap</t>
        </is>
      </c>
      <c r="F4" s="3" t="inlineStr">
        <is>
          <t>/violations</t>
        </is>
      </c>
      <c r="G4" s="4" t="inlineStr">
        <is>
          <t>❌ Data Gap</t>
        </is>
      </c>
    </row>
    <row r="5" ht="52" customHeight="1">
      <c r="A5" s="3" t="n">
        <v>3</v>
      </c>
      <c r="B5" s="3" t="inlineStr">
        <is>
          <t>M1 - Incidents</t>
        </is>
      </c>
      <c r="C5" s="3" t="inlineStr">
        <is>
          <t>LTISR (Lost Time Injury Severity Rate)</t>
        </is>
      </c>
      <c r="D5" s="3" t="inlineStr">
        <is>
          <t>(Lost Days × 1,000,000) ÷ Total Man-Hours</t>
        </is>
      </c>
      <c r="E5" s="3" t="inlineStr">
        <is>
          <t>N/A — same man-hours data gap</t>
        </is>
      </c>
      <c r="F5" s="3" t="inlineStr">
        <is>
          <t>/violations</t>
        </is>
      </c>
      <c r="G5" s="4" t="inlineStr">
        <is>
          <t>❌ Data Gap</t>
        </is>
      </c>
    </row>
    <row r="6" ht="52" customHeight="1">
      <c r="A6" s="3" t="n">
        <v>4</v>
      </c>
      <c r="B6" s="3" t="inlineStr">
        <is>
          <t>M1 - Incidents</t>
        </is>
      </c>
      <c r="C6" s="3" t="inlineStr">
        <is>
          <t>DART Rate</t>
        </is>
      </c>
      <c r="D6" s="3" t="inlineStr">
        <is>
          <t>((LTI + RWC) × 200,000) ÷ Man-Hours</t>
        </is>
      </c>
      <c r="E6" s="3" t="inlineStr">
        <is>
          <t>N/A — no man-hours; RWC not tracked in DB</t>
        </is>
      </c>
      <c r="F6" s="3" t="inlineStr">
        <is>
          <t>/violations</t>
        </is>
      </c>
      <c r="G6" s="4" t="inlineStr">
        <is>
          <t>❌ Data Gap</t>
        </is>
      </c>
    </row>
    <row r="7" ht="52" customHeight="1">
      <c r="A7" s="3" t="n">
        <v>5</v>
      </c>
      <c r="B7" s="3" t="inlineStr">
        <is>
          <t>M1 - Incidents</t>
        </is>
      </c>
      <c r="C7" s="3" t="inlineStr">
        <is>
          <t>FAR (Fatal Accident Rate)</t>
        </is>
      </c>
      <c r="D7" s="3" t="inlineStr">
        <is>
          <t>(Fatalities × 100,000,000) ÷ Man-Hours</t>
        </is>
      </c>
      <c r="E7" s="3" t="inlineStr">
        <is>
          <t>N/A — man-hours data gap</t>
        </is>
      </c>
      <c r="F7" s="3" t="inlineStr">
        <is>
          <t>/violations</t>
        </is>
      </c>
      <c r="G7" s="4" t="inlineStr">
        <is>
          <t>❌ Data Gap</t>
        </is>
      </c>
    </row>
    <row r="8" ht="52" customHeight="1">
      <c r="A8" s="3" t="n">
        <v>6</v>
      </c>
      <c r="B8" s="3" t="inlineStr">
        <is>
          <t>M1 - Incidents</t>
        </is>
      </c>
      <c r="C8" s="3" t="inlineStr">
        <is>
          <t>Near Miss Ratio</t>
        </is>
      </c>
      <c r="D8" s="3" t="inlineStr">
        <is>
          <t>Near Misses ÷ Recordable Injuries</t>
        </is>
      </c>
      <c r="E8" s="3" t="inlineStr">
        <is>
          <t>Not exposed as KPI; near_miss count = 130, recordables = 9  ➜ 14.4:1</t>
        </is>
      </c>
      <c r="F8" s="3" t="inlineStr">
        <is>
          <t>/violations</t>
        </is>
      </c>
      <c r="G8" s="4" t="inlineStr">
        <is>
          <t>❌ Data Gap</t>
        </is>
      </c>
    </row>
    <row r="9" ht="52" customHeight="1">
      <c r="A9" s="3" t="n">
        <v>7</v>
      </c>
      <c r="B9" s="3" t="inlineStr">
        <is>
          <t>M1 - Incidents</t>
        </is>
      </c>
      <c r="C9" s="3" t="inlineStr">
        <is>
          <t>Incident Close-Out Rate</t>
        </is>
      </c>
      <c r="D9" s="3" t="inlineStr">
        <is>
          <t>Investigations Closed ÷ Total Investigations × 100</t>
        </is>
      </c>
      <c r="E9" s="3" t="inlineStr">
        <is>
          <t>Completed / Total × 100 = 24/60 = 40%</t>
        </is>
      </c>
      <c r="F9" s="3" t="inlineStr">
        <is>
          <t>/root-cause-analysis</t>
        </is>
      </c>
      <c r="G9" s="5" t="inlineStr">
        <is>
          <t>✅ Applied</t>
        </is>
      </c>
    </row>
    <row r="10" ht="52" customHeight="1">
      <c r="A10" s="3" t="n">
        <v>8</v>
      </c>
      <c r="B10" s="3" t="inlineStr">
        <is>
          <t>M1 - Incidents</t>
        </is>
      </c>
      <c r="C10" s="3" t="inlineStr">
        <is>
          <t>Incident Trend (Monthly)</t>
        </is>
      </c>
      <c r="D10" s="3" t="inlineStr">
        <is>
          <t>COUNT(incidents) GROUP BY month</t>
        </is>
      </c>
      <c r="E10" s="3" t="inlineStr">
        <is>
          <t>incidents grouped by YEAR/MONTH, last 10 months</t>
        </is>
      </c>
      <c r="F10" s="3" t="inlineStr">
        <is>
          <t>/violations, /analytics</t>
        </is>
      </c>
      <c r="G10" s="5" t="inlineStr">
        <is>
          <t>✅ Applied</t>
        </is>
      </c>
    </row>
    <row r="11" ht="52" customHeight="1">
      <c r="A11" s="3" t="n">
        <v>9</v>
      </c>
      <c r="B11" s="3" t="inlineStr">
        <is>
          <t>M1 - Incidents</t>
        </is>
      </c>
      <c r="C11" s="3" t="inlineStr">
        <is>
          <t>Incidents by Type Breakdown</t>
        </is>
      </c>
      <c r="D11" s="3" t="inlineStr">
        <is>
          <t>COUNTIF incident_type = each type</t>
        </is>
      </c>
      <c r="E11" s="3" t="inlineStr">
        <is>
          <t>GROUP BY incident_type ORDER BY cnt DESC</t>
        </is>
      </c>
      <c r="F11" s="3" t="inlineStr">
        <is>
          <t>/violations, /analytics</t>
        </is>
      </c>
      <c r="G11" s="5" t="inlineStr">
        <is>
          <t>✅ Applied</t>
        </is>
      </c>
    </row>
    <row r="12" ht="52" customHeight="1">
      <c r="A12" s="3" t="n">
        <v>10</v>
      </c>
      <c r="B12" s="3" t="inlineStr">
        <is>
          <t>M1 - Incidents</t>
        </is>
      </c>
      <c r="C12" s="3" t="inlineStr">
        <is>
          <t>Incidents by Severity Mix</t>
        </is>
      </c>
      <c r="D12" s="3" t="inlineStr">
        <is>
          <t>COUNTIFS by severity and month</t>
        </is>
      </c>
      <c r="E12" s="3" t="inlineStr">
        <is>
          <t>GROUP BY year/month/severity → _rca_priority() buckets</t>
        </is>
      </c>
      <c r="F12" s="3" t="inlineStr">
        <is>
          <t>/violations, /analytics</t>
        </is>
      </c>
      <c r="G12" s="5" t="inlineStr">
        <is>
          <t>✅ Applied</t>
        </is>
      </c>
    </row>
    <row r="13" ht="52" customHeight="1">
      <c r="A13" s="3" t="n">
        <v>11</v>
      </c>
      <c r="B13" s="3" t="inlineStr">
        <is>
          <t>M1 - Incidents</t>
        </is>
      </c>
      <c r="C13" s="3" t="inlineStr">
        <is>
          <t>Injury Category (Immediate Cause)</t>
        </is>
      </c>
      <c r="D13" s="3" t="inlineStr">
        <is>
          <t>COUNTIF immediate_cause = each value</t>
        </is>
      </c>
      <c r="E13" s="3" t="inlineStr">
        <is>
          <t>GROUP BY immediate_cause ORDER BY cnt DESC</t>
        </is>
      </c>
      <c r="F13" s="3" t="inlineStr">
        <is>
          <t>/violations</t>
        </is>
      </c>
      <c r="G13" s="5" t="inlineStr">
        <is>
          <t>✅ Applied</t>
        </is>
      </c>
    </row>
    <row r="14" ht="52" customHeight="1">
      <c r="A14" s="3" t="n">
        <v>12</v>
      </c>
      <c r="B14" s="3" t="inlineStr">
        <is>
          <t>M1 - Incidents</t>
        </is>
      </c>
      <c r="C14" s="3" t="inlineStr">
        <is>
          <t>Person Involved (Employment Type)</t>
        </is>
      </c>
      <c r="D14" s="3" t="inlineStr">
        <is>
          <t>COUNTIF employment_type per incident reporter</t>
        </is>
      </c>
      <c r="E14" s="3" t="inlineStr">
        <is>
          <t>JOIN employees ON reported_by, GROUP BY employment_type</t>
        </is>
      </c>
      <c r="F14" s="3" t="inlineStr">
        <is>
          <t>/violations, /analytics</t>
        </is>
      </c>
      <c r="G14" s="5" t="inlineStr">
        <is>
          <t>✅ Applied</t>
        </is>
      </c>
    </row>
    <row r="15" ht="52" customHeight="1">
      <c r="A15" s="3" t="n">
        <v>13</v>
      </c>
      <c r="B15" s="3" t="inlineStr">
        <is>
          <t>M1 - Incidents</t>
        </is>
      </c>
      <c r="C15" s="3" t="inlineStr">
        <is>
          <t>Type of Injury (Root Cause)</t>
        </is>
      </c>
      <c r="D15" s="3" t="inlineStr">
        <is>
          <t>COUNTIF root_cause = each value</t>
        </is>
      </c>
      <c r="E15" s="3" t="inlineStr">
        <is>
          <t>GROUP BY root_cause ORDER BY cnt DESC</t>
        </is>
      </c>
      <c r="F15" s="3" t="inlineStr">
        <is>
          <t>/violations</t>
        </is>
      </c>
      <c r="G15" s="5" t="inlineStr">
        <is>
          <t>✅ Applied</t>
        </is>
      </c>
    </row>
    <row r="16" ht="52" customHeight="1">
      <c r="A16" s="3" t="n">
        <v>14</v>
      </c>
      <c r="B16" s="3" t="inlineStr">
        <is>
          <t>M1 - Incidents</t>
        </is>
      </c>
      <c r="C16" s="3" t="inlineStr">
        <is>
          <t>Downtime by Type (Days Away)</t>
        </is>
      </c>
      <c r="D16" s="3" t="inlineStr">
        <is>
          <t>SUMIF days_away GROUP BY incident_type</t>
        </is>
      </c>
      <c r="E16" s="3" t="inlineStr">
        <is>
          <t>SUM(days_away) GROUP BY incident_type ORDER BY total ASC</t>
        </is>
      </c>
      <c r="F16" s="3" t="inlineStr">
        <is>
          <t>/violations</t>
        </is>
      </c>
      <c r="G16" s="5" t="inlineStr">
        <is>
          <t>✅ Applied</t>
        </is>
      </c>
    </row>
    <row r="17" ht="52" customHeight="1">
      <c r="A17" s="3" t="n">
        <v>15</v>
      </c>
      <c r="B17" s="3" t="inlineStr">
        <is>
          <t>M1 - Incidents</t>
        </is>
      </c>
      <c r="C17" s="3" t="inlineStr">
        <is>
          <t>Key Learnings</t>
        </is>
      </c>
      <c r="D17" s="3" t="inlineStr">
        <is>
          <t>Latest incident descriptions (first sentence)</t>
        </is>
      </c>
      <c r="E17" s="3" t="inlineStr">
        <is>
          <t>SELECT description ORDER BY id DESC LIMIT 6</t>
        </is>
      </c>
      <c r="F17" s="3" t="inlineStr">
        <is>
          <t>/violations</t>
        </is>
      </c>
      <c r="G17" s="5" t="inlineStr">
        <is>
          <t>✅ Applied</t>
        </is>
      </c>
    </row>
    <row r="18" ht="20" customHeight="1">
      <c r="A18" s="2" t="inlineStr">
        <is>
          <t xml:space="preserve">  MODULE 2 — RISK &amp; HAZARDS</t>
        </is>
      </c>
    </row>
    <row r="19" ht="52" customHeight="1">
      <c r="A19" s="3" t="n">
        <v>16</v>
      </c>
      <c r="B19" s="3" t="inlineStr">
        <is>
          <t>M2 - Risk</t>
        </is>
      </c>
      <c r="C19" s="3" t="inlineStr">
        <is>
          <t>Corrective Action Closure Rate</t>
        </is>
      </c>
      <c r="D19" s="3" t="inlineStr">
        <is>
          <t>Actions Closed on Time ÷ Total Open Actions × 100  (Target &gt;90%)</t>
        </is>
      </c>
      <c r="E19" s="3" t="inlineStr">
        <is>
          <t>capa_done / capa_total × 100 = 21/60 = 35%</t>
        </is>
      </c>
      <c r="F19" s="3" t="inlineStr">
        <is>
          <t>/root-cause-analysis</t>
        </is>
      </c>
      <c r="G19" s="5" t="inlineStr">
        <is>
          <t>✅ Applied</t>
        </is>
      </c>
    </row>
    <row r="20" ht="52" customHeight="1">
      <c r="A20" s="3" t="n">
        <v>17</v>
      </c>
      <c r="B20" s="3" t="inlineStr">
        <is>
          <t>M2 - Risk</t>
        </is>
      </c>
      <c r="C20" s="3" t="inlineStr">
        <is>
          <t>Control Effectiveness Score</t>
        </is>
      </c>
      <c r="D20" s="3" t="inlineStr">
        <is>
          <t>CAPA Completed ÷ CAPA Total × 100</t>
        </is>
      </c>
      <c r="E20" s="3" t="inlineStr">
        <is>
          <t>round(capa_done / capa_total * 100) = 35%</t>
        </is>
      </c>
      <c r="F20" s="3" t="inlineStr">
        <is>
          <t>/root-cause-analysis</t>
        </is>
      </c>
      <c r="G20" s="5" t="inlineStr">
        <is>
          <t>✅ Applied</t>
        </is>
      </c>
    </row>
    <row r="21" ht="52" customHeight="1">
      <c r="A21" s="3" t="n">
        <v>18</v>
      </c>
      <c r="B21" s="3" t="inlineStr">
        <is>
          <t>M2 - Risk</t>
        </is>
      </c>
      <c r="C21" s="3" t="inlineStr">
        <is>
          <t>Unverified Controls</t>
        </is>
      </c>
      <c r="D21" s="3" t="inlineStr">
        <is>
          <t>COUNT(CAPA status ≠ Completed)</t>
        </is>
      </c>
      <c r="E21" s="3" t="inlineStr">
        <is>
          <t>COUNT(*) WHERE status != 'Completed' = 39</t>
        </is>
      </c>
      <c r="F21" s="3" t="inlineStr">
        <is>
          <t>/root-cause-analysis</t>
        </is>
      </c>
      <c r="G21" s="5" t="inlineStr">
        <is>
          <t>✅ Applied</t>
        </is>
      </c>
    </row>
    <row r="22" ht="52" customHeight="1">
      <c r="A22" s="3" t="n">
        <v>19</v>
      </c>
      <c r="B22" s="3" t="inlineStr">
        <is>
          <t>M2 - Risk</t>
        </is>
      </c>
      <c r="C22" s="3" t="inlineStr">
        <is>
          <t>Risk Escalations</t>
        </is>
      </c>
      <c r="D22" s="3" t="inlineStr">
        <is>
          <t>COUNT(open CAPA past due date)</t>
        </is>
      </c>
      <c r="E22" s="3" t="inlineStr">
        <is>
          <t>COUNT WHERE status!='Completed' AND due_date &lt; today = 39</t>
        </is>
      </c>
      <c r="F22" s="3" t="inlineStr">
        <is>
          <t>/root-cause-analysis</t>
        </is>
      </c>
      <c r="G22" s="5" t="inlineStr">
        <is>
          <t>✅ Applied</t>
        </is>
      </c>
    </row>
    <row r="23" ht="52" customHeight="1">
      <c r="A23" s="3" t="n">
        <v>20</v>
      </c>
      <c r="B23" s="3" t="inlineStr">
        <is>
          <t>M2 - Risk</t>
        </is>
      </c>
      <c r="C23" s="3" t="inlineStr">
        <is>
          <t>Residual Risk Trend</t>
        </is>
      </c>
      <c r="D23" s="3" t="inlineStr">
        <is>
          <t>Severity-weighted incident score per quarter, normalised 0–100</t>
        </is>
      </c>
      <c r="E23" s="3" t="inlineStr">
        <is>
          <t>4 quarters, severity weights: fatal=5, significant=5, serious=3, minor=1</t>
        </is>
      </c>
      <c r="F23" s="3" t="inlineStr">
        <is>
          <t>/root-cause-analysis</t>
        </is>
      </c>
      <c r="G23" s="5" t="inlineStr">
        <is>
          <t>✅ Applied</t>
        </is>
      </c>
    </row>
    <row r="24" ht="52" customHeight="1">
      <c r="A24" s="3" t="n">
        <v>21</v>
      </c>
      <c r="B24" s="3" t="inlineStr">
        <is>
          <t>M2 - Risk</t>
        </is>
      </c>
      <c r="C24" s="3" t="inlineStr">
        <is>
          <t>Risk Matrix (5×5)</t>
        </is>
      </c>
      <c r="D24" s="3" t="inlineStr">
        <is>
          <t>COUNT hazards by Severity row × Probability column</t>
        </is>
      </c>
      <c r="E24" s="3" t="inlineStr">
        <is>
          <t>Hazard.severity → _sev_row(), Hazard.probability → _prob_col()</t>
        </is>
      </c>
      <c r="F24" s="3" t="inlineStr">
        <is>
          <t>/root-cause-analysis</t>
        </is>
      </c>
      <c r="G24" s="6" t="inlineStr">
        <is>
          <t>🔧 Fixed</t>
        </is>
      </c>
    </row>
    <row r="25" ht="52" customHeight="1">
      <c r="A25" s="3" t="n">
        <v>22</v>
      </c>
      <c r="B25" s="3" t="inlineStr">
        <is>
          <t>M2 - Risk</t>
        </is>
      </c>
      <c r="C25" s="3" t="inlineStr">
        <is>
          <t>Risk by Zone / Site / Team</t>
        </is>
      </c>
      <c r="D25" s="3" t="inlineStr">
        <is>
          <t>COUNT incidents per site (via working_stations JOIN)</t>
        </is>
      </c>
      <c r="E25" s="3" t="inlineStr">
        <is>
          <t>incidents JOIN working_stations JOIN sites GROUP BY site_name</t>
        </is>
      </c>
      <c r="F25" s="3" t="inlineStr">
        <is>
          <t>/root-cause-analysis</t>
        </is>
      </c>
      <c r="G25" s="5" t="inlineStr">
        <is>
          <t>✅ Applied</t>
        </is>
      </c>
    </row>
    <row r="26" ht="52" customHeight="1">
      <c r="A26" s="3" t="n">
        <v>23</v>
      </c>
      <c r="B26" s="3" t="inlineStr">
        <is>
          <t>M2 - Risk</t>
        </is>
      </c>
      <c r="C26" s="3" t="inlineStr">
        <is>
          <t>Risk Aging (CAPA buckets)</t>
        </is>
      </c>
      <c r="D26" s="3" t="inlineStr">
        <is>
          <t>Open CAPAs bucketed: 0–30d / 31–60d / 61–90d / &gt;90d overdue</t>
        </is>
      </c>
      <c r="E26" s="3" t="inlineStr">
        <is>
          <t>days_over = (today - due_date).days; all 39 fall in &gt;90 Days</t>
        </is>
      </c>
      <c r="F26" s="3" t="inlineStr">
        <is>
          <t>/root-cause-analysis</t>
        </is>
      </c>
      <c r="G26" s="5" t="inlineStr">
        <is>
          <t>✅ Applied</t>
        </is>
      </c>
    </row>
    <row r="27" ht="52" customHeight="1">
      <c r="A27" s="3" t="n">
        <v>24</v>
      </c>
      <c r="B27" s="3" t="inlineStr">
        <is>
          <t>M2 - Risk</t>
        </is>
      </c>
      <c r="C27" s="3" t="inlineStr">
        <is>
          <t>Active Tasks Table</t>
        </is>
      </c>
      <c r="D27" s="3" t="inlineStr">
        <is>
          <t>Open CAPAs ordered by due_date</t>
        </is>
      </c>
      <c r="E27" s="3" t="inlineStr">
        <is>
          <t>CAPA WHERE status!='Completed' ORDER BY due_date ASC LIMIT 5</t>
        </is>
      </c>
      <c r="F27" s="3" t="inlineStr">
        <is>
          <t>/root-cause-analysis</t>
        </is>
      </c>
      <c r="G27" s="5" t="inlineStr">
        <is>
          <t>✅ Applied</t>
        </is>
      </c>
    </row>
    <row r="28" ht="52" customHeight="1">
      <c r="A28" s="3" t="n">
        <v>25</v>
      </c>
      <c r="B28" s="3" t="inlineStr">
        <is>
          <t>M2 - Risk</t>
        </is>
      </c>
      <c r="C28" s="3" t="inlineStr">
        <is>
          <t>Risk Register Coverage</t>
        </is>
      </c>
      <c r="D28" s="3" t="inlineStr">
        <is>
          <t>Hazard-to-risk-register linkage ratio</t>
        </is>
      </c>
      <c r="E28" s="3" t="inlineStr">
        <is>
          <t>No structured risk register; not computable from current data</t>
        </is>
      </c>
      <c r="F28" s="3" t="inlineStr">
        <is>
          <t>—</t>
        </is>
      </c>
      <c r="G28" s="4" t="inlineStr">
        <is>
          <t>❌ Data Gap</t>
        </is>
      </c>
    </row>
    <row r="29" ht="52" customHeight="1">
      <c r="A29" s="3" t="n">
        <v>26</v>
      </c>
      <c r="B29" s="3" t="inlineStr">
        <is>
          <t>M2 - Risk</t>
        </is>
      </c>
      <c r="C29" s="3" t="inlineStr">
        <is>
          <t>HiPo Rate</t>
        </is>
      </c>
      <c r="D29" s="3" t="inlineStr">
        <is>
          <t>High-Potential incidents ÷ Total Incidents × 100</t>
        </is>
      </c>
      <c r="E29" s="3" t="inlineStr">
        <is>
          <t>No HiPo flag in incidents table</t>
        </is>
      </c>
      <c r="F29" s="3" t="inlineStr">
        <is>
          <t>—</t>
        </is>
      </c>
      <c r="G29" s="4" t="inlineStr">
        <is>
          <t>❌ Data Gap</t>
        </is>
      </c>
    </row>
    <row r="30" ht="52" customHeight="1">
      <c r="A30" s="3" t="n">
        <v>27</v>
      </c>
      <c r="B30" s="3" t="inlineStr">
        <is>
          <t>M2 - Risk</t>
        </is>
      </c>
      <c r="C30" s="3" t="inlineStr">
        <is>
          <t>JSA Compliance</t>
        </is>
      </c>
      <c r="D30" s="3" t="inlineStr">
        <is>
          <t>JSA completed ÷ JSA required × 100</t>
        </is>
      </c>
      <c r="E30" s="3" t="inlineStr">
        <is>
          <t>No JSA records or JSA-to-permit linkage in DB</t>
        </is>
      </c>
      <c r="F30" s="3" t="inlineStr">
        <is>
          <t>—</t>
        </is>
      </c>
      <c r="G30" s="4" t="inlineStr">
        <is>
          <t>❌ Data Gap</t>
        </is>
      </c>
    </row>
    <row r="31" ht="20" customHeight="1">
      <c r="A31" s="2" t="inlineStr">
        <is>
          <t xml:space="preserve">  MODULE 4 — ASSETS &amp; OPERATIONS (PTW)</t>
        </is>
      </c>
    </row>
    <row r="32" ht="52" customHeight="1">
      <c r="A32" s="3" t="n">
        <v>28</v>
      </c>
      <c r="B32" s="3" t="inlineStr">
        <is>
          <t>M4 - Assets/PTW</t>
        </is>
      </c>
      <c r="C32" s="3" t="inlineStr">
        <is>
          <t>PTW Compliance Rate</t>
        </is>
      </c>
      <c r="D32" s="3" t="inlineStr">
        <is>
          <t>Permits Properly Closed ÷ Total Permits × 100  (Target 100%)</t>
        </is>
      </c>
      <c r="E32" s="3" t="inlineStr">
        <is>
          <t>Closed / Total × 100 = 571/1800 = 31.7%  (FIXED from no_deviation formula)</t>
        </is>
      </c>
      <c r="F32" s="3" t="inlineStr">
        <is>
          <t>/actions, /compliance</t>
        </is>
      </c>
      <c r="G32" s="6" t="inlineStr">
        <is>
          <t>🔧 Fixed</t>
        </is>
      </c>
    </row>
    <row r="33" ht="52" customHeight="1">
      <c r="A33" s="3" t="n">
        <v>29</v>
      </c>
      <c r="B33" s="3" t="inlineStr">
        <is>
          <t>M4 - Assets/PTW</t>
        </is>
      </c>
      <c r="C33" s="3" t="inlineStr">
        <is>
          <t>LOTO Compliance %</t>
        </is>
      </c>
      <c r="D33" s="3" t="inlineStr">
        <is>
          <t>Equipment Isolation permits with no deviation ÷ Total Isolation permits × 100</t>
        </is>
      </c>
      <c r="E33" s="3" t="inlineStr">
        <is>
          <t>Proxy: no_deviation rate on Isolation/Lockout permits (PT004 type)</t>
        </is>
      </c>
      <c r="F33" s="3" t="inlineStr">
        <is>
          <t>/actions</t>
        </is>
      </c>
      <c r="G33" s="5" t="inlineStr">
        <is>
          <t>✅ Applied</t>
        </is>
      </c>
    </row>
    <row r="34" ht="52" customHeight="1">
      <c r="A34" s="3" t="n">
        <v>30</v>
      </c>
      <c r="B34" s="3" t="inlineStr">
        <is>
          <t>M4 - Assets/PTW</t>
        </is>
      </c>
      <c r="C34" s="3" t="inlineStr">
        <is>
          <t>Active Permits Count</t>
        </is>
      </c>
      <c r="D34" s="3" t="inlineStr">
        <is>
          <t>COUNTIF status = 'Active'</t>
        </is>
      </c>
      <c r="E34" s="3" t="inlineStr">
        <is>
          <t>COUNT WHERE status='Active' = 598</t>
        </is>
      </c>
      <c r="F34" s="3" t="inlineStr">
        <is>
          <t>/actions</t>
        </is>
      </c>
      <c r="G34" s="5" t="inlineStr">
        <is>
          <t>✅ Applied</t>
        </is>
      </c>
    </row>
    <row r="35" ht="52" customHeight="1">
      <c r="A35" s="3" t="n">
        <v>31</v>
      </c>
      <c r="B35" s="3" t="inlineStr">
        <is>
          <t>M4 - Assets/PTW</t>
        </is>
      </c>
      <c r="C35" s="3" t="inlineStr">
        <is>
          <t>Work Exposure Hours</t>
        </is>
      </c>
      <c r="D35" s="3" t="inlineStr">
        <is>
          <t>SUM(duration_hours × number_of_workers) for Active permits</t>
        </is>
      </c>
      <c r="E35" s="3" t="inlineStr">
        <is>
          <t>SUM(duration_requested_hours * number_of_workers) WHERE status='Active' = 13,688 hrs</t>
        </is>
      </c>
      <c r="F35" s="3" t="inlineStr">
        <is>
          <t>/actions</t>
        </is>
      </c>
      <c r="G35" s="5" t="inlineStr">
        <is>
          <t>✅ Applied</t>
        </is>
      </c>
    </row>
    <row r="36" ht="52" customHeight="1">
      <c r="A36" s="3" t="n">
        <v>32</v>
      </c>
      <c r="B36" s="3" t="inlineStr">
        <is>
          <t>M4 - Assets/PTW</t>
        </is>
      </c>
      <c r="C36" s="3" t="inlineStr">
        <is>
          <t>High Risk Work Radar Chart</t>
        </is>
      </c>
      <c r="D36" s="3" t="inlineStr">
        <is>
          <t>Active permit count per type, normalised to 100</t>
        </is>
      </c>
      <c r="E36" s="3" t="inlineStr">
        <is>
          <t>JOIN permit_types, COUNT per type, max_count normalisation</t>
        </is>
      </c>
      <c r="F36" s="3" t="inlineStr">
        <is>
          <t>/actions</t>
        </is>
      </c>
      <c r="G36" s="5" t="inlineStr">
        <is>
          <t>✅ Applied</t>
        </is>
      </c>
    </row>
    <row r="37" ht="52" customHeight="1">
      <c r="A37" s="3" t="n">
        <v>33</v>
      </c>
      <c r="B37" s="3" t="inlineStr">
        <is>
          <t>M4 - Assets/PTW</t>
        </is>
      </c>
      <c r="C37" s="3" t="inlineStr">
        <is>
          <t>Permit Violations</t>
        </is>
      </c>
      <c r="D37" s="3" t="inlineStr">
        <is>
          <t>Incidents where permit was active (permit_active = 'Yes')</t>
        </is>
      </c>
      <c r="E37" s="3" t="inlineStr">
        <is>
          <t>incidents WHERE permit_active='Yes' JOIN working_stations</t>
        </is>
      </c>
      <c r="F37" s="3" t="inlineStr">
        <is>
          <t>/actions</t>
        </is>
      </c>
      <c r="G37" s="5" t="inlineStr">
        <is>
          <t>✅ Applied</t>
        </is>
      </c>
    </row>
    <row r="38" ht="52" customHeight="1">
      <c r="A38" s="3" t="n">
        <v>34</v>
      </c>
      <c r="B38" s="3" t="inlineStr">
        <is>
          <t>M4 - Assets/PTW</t>
        </is>
      </c>
      <c r="C38" s="3" t="inlineStr">
        <is>
          <t>Missing Controls</t>
        </is>
      </c>
      <c r="D38" s="3" t="inlineStr">
        <is>
          <t>Active permits with deviation_reported = 'Yes'</t>
        </is>
      </c>
      <c r="E38" s="3" t="inlineStr">
        <is>
          <t>permits_to_work WHERE status='Active' AND deviation_reported='Yes'</t>
        </is>
      </c>
      <c r="F38" s="3" t="inlineStr">
        <is>
          <t>/actions</t>
        </is>
      </c>
      <c r="G38" s="5" t="inlineStr">
        <is>
          <t>✅ Applied</t>
        </is>
      </c>
    </row>
    <row r="39" ht="52" customHeight="1">
      <c r="A39" s="3" t="n">
        <v>35</v>
      </c>
      <c r="B39" s="3" t="inlineStr">
        <is>
          <t>M4 - Assets/PTW</t>
        </is>
      </c>
      <c r="C39" s="3" t="inlineStr">
        <is>
          <t>Work by Permit Type</t>
        </is>
      </c>
      <c r="D39" s="3" t="inlineStr">
        <is>
          <t>Active% / Closed% / Expired% per permit type (using per-type total)</t>
        </is>
      </c>
      <c r="E39" s="3" t="inlineStr">
        <is>
          <t>GROUP BY permit_type_name, status → per-type percentage</t>
        </is>
      </c>
      <c r="F39" s="3" t="inlineStr">
        <is>
          <t>/actions, /analytics</t>
        </is>
      </c>
      <c r="G39" s="5" t="inlineStr">
        <is>
          <t>✅ Applied</t>
        </is>
      </c>
    </row>
    <row r="40" ht="52" customHeight="1">
      <c r="A40" s="3" t="n">
        <v>36</v>
      </c>
      <c r="B40" s="3" t="inlineStr">
        <is>
          <t>M4 - Assets/PTW</t>
        </is>
      </c>
      <c r="C40" s="3" t="inlineStr">
        <is>
          <t>Contractor PTW Compliance</t>
        </is>
      </c>
      <c r="D40" s="3" t="inlineStr">
        <is>
          <t>Closed contractor permits ÷ Total contractor permits × 100</t>
        </is>
      </c>
      <c r="E40" s="3" t="inlineStr">
        <is>
          <t>FIXED: was using no_deviation formula; now uses Closed/Total = 29.9%</t>
        </is>
      </c>
      <c r="F40" s="3" t="inlineStr">
        <is>
          <t>/analytics (Contractor tab)</t>
        </is>
      </c>
      <c r="G40" s="6" t="inlineStr">
        <is>
          <t>🔧 Fixed</t>
        </is>
      </c>
    </row>
    <row r="41" ht="52" customHeight="1">
      <c r="A41" s="3" t="n">
        <v>37</v>
      </c>
      <c r="B41" s="3" t="inlineStr">
        <is>
          <t>M4 - Assets/PTW</t>
        </is>
      </c>
      <c r="C41" s="3" t="inlineStr">
        <is>
          <t>Scheduled Inspection Compliance</t>
        </is>
      </c>
      <c r="D41" s="3" t="inlineStr">
        <is>
          <t>Completed inspections ÷ Scheduled inspections × 100</t>
        </is>
      </c>
      <c r="E41" s="3" t="inlineStr">
        <is>
          <t>No CMMS/work-order data in DB</t>
        </is>
      </c>
      <c r="F41" s="3" t="inlineStr">
        <is>
          <t>—</t>
        </is>
      </c>
      <c r="G41" s="4" t="inlineStr">
        <is>
          <t>❌ Data Gap</t>
        </is>
      </c>
    </row>
    <row r="42" ht="52" customHeight="1">
      <c r="A42" s="3" t="n">
        <v>38</v>
      </c>
      <c r="B42" s="3" t="inlineStr">
        <is>
          <t>M4 - Assets/PTW</t>
        </is>
      </c>
      <c r="C42" s="3" t="inlineStr">
        <is>
          <t>Preventive Maintenance Compliance</t>
        </is>
      </c>
      <c r="D42" s="3" t="inlineStr">
        <is>
          <t>PM completed ÷ PM scheduled × 100</t>
        </is>
      </c>
      <c r="E42" s="3" t="inlineStr">
        <is>
          <t>No maintenance work-order data in DB</t>
        </is>
      </c>
      <c r="F42" s="3" t="inlineStr">
        <is>
          <t>—</t>
        </is>
      </c>
      <c r="G42" s="4" t="inlineStr">
        <is>
          <t>❌ Data Gap</t>
        </is>
      </c>
    </row>
    <row r="43" ht="20" customHeight="1">
      <c r="A43" s="2" t="inlineStr">
        <is>
          <t xml:space="preserve">  COMPLIANCE &amp; AUDIT</t>
        </is>
      </c>
    </row>
    <row r="44" ht="52" customHeight="1">
      <c r="A44" s="3" t="n">
        <v>39</v>
      </c>
      <c r="B44" s="3" t="inlineStr">
        <is>
          <t>Compliance</t>
        </is>
      </c>
      <c r="C44" s="3" t="inlineStr">
        <is>
          <t>Overall Compliance Score</t>
        </is>
      </c>
      <c r="D44" s="3" t="inlineStr">
        <is>
          <t>avg(PTW Compliance + Legal Register + Audit Readiness) ÷ 3</t>
        </is>
      </c>
      <c r="E44" s="3" t="inlineStr">
        <is>
          <t>avg(32 + 75 + 61) / 3 = 56%  (FIXED: uses correct PTW formula)</t>
        </is>
      </c>
      <c r="F44" s="3" t="inlineStr">
        <is>
          <t>/compliance</t>
        </is>
      </c>
      <c r="G44" s="6" t="inlineStr">
        <is>
          <t>🔧 Fixed</t>
        </is>
      </c>
    </row>
    <row r="45" ht="52" customHeight="1">
      <c r="A45" s="3" t="n">
        <v>40</v>
      </c>
      <c r="B45" s="3" t="inlineStr">
        <is>
          <t>Compliance</t>
        </is>
      </c>
      <c r="C45" s="3" t="inlineStr">
        <is>
          <t>Legal Register Coverage %</t>
        </is>
      </c>
      <c r="D45" s="3" t="inlineStr">
        <is>
          <t>Distinct policy categories ÷ Distinct hazard categories × 100</t>
        </is>
      </c>
      <c r="E45" s="3" t="inlineStr">
        <is>
          <t>12 policy cats / 16 hazard cats × 100 = 75%</t>
        </is>
      </c>
      <c r="F45" s="3" t="inlineStr">
        <is>
          <t>/compliance</t>
        </is>
      </c>
      <c r="G45" s="5" t="inlineStr">
        <is>
          <t>✅ Applied</t>
        </is>
      </c>
    </row>
    <row r="46" ht="52" customHeight="1">
      <c r="A46" s="3" t="n">
        <v>41</v>
      </c>
      <c r="B46" s="3" t="inlineStr">
        <is>
          <t>Compliance</t>
        </is>
      </c>
      <c r="C46" s="3" t="inlineStr">
        <is>
          <t>Audit Readiness Score</t>
        </is>
      </c>
      <c r="D46" s="3" t="inlineStr">
        <is>
          <t>avg(compliance_rating) ÷ 5 × 100  (from safety_walks)</t>
        </is>
      </c>
      <c r="E46" s="3" t="inlineStr">
        <is>
          <t>AVG(compliance_rating) = 3.06/5 × 100 = 61%</t>
        </is>
      </c>
      <c r="F46" s="3" t="inlineStr">
        <is>
          <t>/compliance</t>
        </is>
      </c>
      <c r="G46" s="5" t="inlineStr">
        <is>
          <t>✅ Applied</t>
        </is>
      </c>
    </row>
    <row r="47" ht="52" customHeight="1">
      <c r="A47" s="3" t="n">
        <v>42</v>
      </c>
      <c r="B47" s="3" t="inlineStr">
        <is>
          <t>Compliance</t>
        </is>
      </c>
      <c r="C47" s="3" t="inlineStr">
        <is>
          <t>Policy Review %</t>
        </is>
      </c>
      <c r="D47" s="3" t="inlineStr">
        <is>
          <t>Current policies ÷ Total policies × 100</t>
        </is>
      </c>
      <c r="E47" s="3" t="inlineStr">
        <is>
          <t>12 Current / 12 Total × 100 = 100%</t>
        </is>
      </c>
      <c r="F47" s="3" t="inlineStr">
        <is>
          <t>/compliance</t>
        </is>
      </c>
      <c r="G47" s="5" t="inlineStr">
        <is>
          <t>✅ Applied</t>
        </is>
      </c>
    </row>
    <row r="48" ht="52" customHeight="1">
      <c r="A48" s="3" t="n">
        <v>43</v>
      </c>
      <c r="B48" s="3" t="inlineStr">
        <is>
          <t>Compliance</t>
        </is>
      </c>
      <c r="C48" s="3" t="inlineStr">
        <is>
          <t>Compliance Trend (Monthly)</t>
        </is>
      </c>
      <c r="D48" s="3" t="inlineStr">
        <is>
          <t>Monthly avg(compliance_rating) / 5 × 100 from safety_walks</t>
        </is>
      </c>
      <c r="E48" s="3" t="inlineStr">
        <is>
          <t>GROUP BY year/month, AVG(compliance_rating)/5×100 — 17 months of data</t>
        </is>
      </c>
      <c r="F48" s="3" t="inlineStr">
        <is>
          <t>/compliance</t>
        </is>
      </c>
      <c r="G48" s="5" t="inlineStr">
        <is>
          <t>✅ Applied</t>
        </is>
      </c>
    </row>
    <row r="49" ht="52" customHeight="1">
      <c r="A49" s="3" t="n">
        <v>44</v>
      </c>
      <c r="B49" s="3" t="inlineStr">
        <is>
          <t>Compliance</t>
        </is>
      </c>
      <c r="C49" s="3" t="inlineStr">
        <is>
          <t>Audit Findings by Severity</t>
        </is>
      </c>
      <c r="D49" s="3" t="inlineStr">
        <is>
          <t>Compliance-type walks: critical_issues&gt;=2=Critical, =1=Major, issues_found&gt;=1=Minor</t>
        </is>
      </c>
      <c r="E49" s="3" t="inlineStr">
        <is>
          <t>Filtered WHERE inspection_type='Compliance', grouped by critical_issues/issues_found</t>
        </is>
      </c>
      <c r="F49" s="3" t="inlineStr">
        <is>
          <t>/compliance</t>
        </is>
      </c>
      <c r="G49" s="5" t="inlineStr">
        <is>
          <t>✅ Applied</t>
        </is>
      </c>
    </row>
    <row r="50" ht="52" customHeight="1">
      <c r="A50" s="3" t="n">
        <v>45</v>
      </c>
      <c r="B50" s="3" t="inlineStr">
        <is>
          <t>Compliance</t>
        </is>
      </c>
      <c r="C50" s="3" t="inlineStr">
        <is>
          <t>Non-Conformance Rows</t>
        </is>
      </c>
      <c r="D50" s="3" t="inlineStr">
        <is>
          <t>Open CAPAs with incident severity → criticality mapping</t>
        </is>
      </c>
      <c r="E50" s="3" t="inlineStr">
        <is>
          <t>CAPA JOIN incidents, status!='Completed', severity→High/Medium/Low</t>
        </is>
      </c>
      <c r="F50" s="3" t="inlineStr">
        <is>
          <t>/compliance</t>
        </is>
      </c>
      <c r="G50" s="5" t="inlineStr">
        <is>
          <t>✅ Applied</t>
        </is>
      </c>
    </row>
    <row r="51" ht="20" customHeight="1">
      <c r="A51" s="2" t="inlineStr">
        <is>
          <t xml:space="preserve">  WORKFORCE — SAFETY WALKS &amp; ENGAGEMENT</t>
        </is>
      </c>
    </row>
    <row r="52" ht="52" customHeight="1">
      <c r="A52" s="3" t="n">
        <v>46</v>
      </c>
      <c r="B52" s="3" t="inlineStr">
        <is>
          <t>Workforce/Walks</t>
        </is>
      </c>
      <c r="C52" s="3" t="inlineStr">
        <is>
          <t>Safety Observations %</t>
        </is>
      </c>
      <c r="D52" s="3" t="inlineStr">
        <is>
          <t>Walks with compliance_rating &gt;= 4 ÷ Total walks × 100</t>
        </is>
      </c>
      <c r="E52" s="3" t="inlineStr">
        <is>
          <t>104/240 = 43%</t>
        </is>
      </c>
      <c r="F52" s="3" t="inlineStr">
        <is>
          <t>/users (People page)</t>
        </is>
      </c>
      <c r="G52" s="5" t="inlineStr">
        <is>
          <t>✅ Applied</t>
        </is>
      </c>
    </row>
    <row r="53" ht="52" customHeight="1">
      <c r="A53" s="3" t="n">
        <v>47</v>
      </c>
      <c r="B53" s="3" t="inlineStr">
        <is>
          <t>Workforce/Walks</t>
        </is>
      </c>
      <c r="C53" s="3" t="inlineStr">
        <is>
          <t>Safety Walks %</t>
        </is>
      </c>
      <c r="D53" s="3" t="inlineStr">
        <is>
          <t>Walks completed this month ÷ Total employees × 100 (fallback: all-time)</t>
        </is>
      </c>
      <c r="E53" s="3" t="inlineStr">
        <is>
          <t>walks_this_month=0 → fallback to 240/150 = capped 100%</t>
        </is>
      </c>
      <c r="F53" s="3" t="inlineStr">
        <is>
          <t>/users (People page)</t>
        </is>
      </c>
      <c r="G53" s="5" t="inlineStr">
        <is>
          <t>✅ Applied</t>
        </is>
      </c>
    </row>
    <row r="54" ht="52" customHeight="1">
      <c r="A54" s="3" t="n">
        <v>48</v>
      </c>
      <c r="B54" s="3" t="inlineStr">
        <is>
          <t>Workforce/Walks</t>
        </is>
      </c>
      <c r="C54" s="3" t="inlineStr">
        <is>
          <t>Toolbox Attendance %</t>
        </is>
      </c>
      <c r="D54" s="3" t="inlineStr">
        <is>
          <t>Toolbox-type walks ÷ Employees × 100 (fallback to all walks)</t>
        </is>
      </c>
      <c r="E54" s="3" t="inlineStr">
        <is>
          <t>No 'Toolbox' type in DB (only Routine/Compliance/Follow-up/Management); fallback=all</t>
        </is>
      </c>
      <c r="F54" s="3" t="inlineStr">
        <is>
          <t>/users (People page)</t>
        </is>
      </c>
      <c r="G54" s="5" t="inlineStr">
        <is>
          <t>✅ Applied</t>
        </is>
      </c>
    </row>
    <row r="55" ht="52" customHeight="1">
      <c r="A55" s="3" t="n">
        <v>49</v>
      </c>
      <c r="B55" s="3" t="inlineStr">
        <is>
          <t>Workforce/Walks</t>
        </is>
      </c>
      <c r="C55" s="3" t="inlineStr">
        <is>
          <t>Survey Score (Safety Culture)</t>
        </is>
      </c>
      <c r="D55" s="3" t="inlineStr">
        <is>
          <t>avg(compliance_rating) / 5 — from safety_walks</t>
        </is>
      </c>
      <c r="E55" s="3" t="inlineStr">
        <is>
          <t>AVG(3.06)/5 = 3.1/5 score = 61%</t>
        </is>
      </c>
      <c r="F55" s="3" t="inlineStr">
        <is>
          <t>/engagement (Notifications)</t>
        </is>
      </c>
      <c r="G55" s="5" t="inlineStr">
        <is>
          <t>✅ Applied</t>
        </is>
      </c>
    </row>
    <row r="56" ht="52" customHeight="1">
      <c r="A56" s="3" t="n">
        <v>50</v>
      </c>
      <c r="B56" s="3" t="inlineStr">
        <is>
          <t>Workforce/Walks</t>
        </is>
      </c>
      <c r="C56" s="3" t="inlineStr">
        <is>
          <t>Reporting Rate</t>
        </is>
      </c>
      <c r="D56" s="3" t="inlineStr">
        <is>
          <t>Reports (incidents+near_misses) this month ÷ Employees × 25, capped 100</t>
        </is>
      </c>
      <c r="E56" s="3">
        <f> 0% (all data in 2024-2025, today=2026 → 0 this month). Fallback to last active month needed</f>
        <v/>
      </c>
      <c r="F56" s="3" t="inlineStr">
        <is>
          <t>/engagement</t>
        </is>
      </c>
      <c r="G56" s="4" t="inlineStr">
        <is>
          <t>❌ Data Gap</t>
        </is>
      </c>
    </row>
    <row r="57" ht="52" customHeight="1">
      <c r="A57" s="3" t="n">
        <v>51</v>
      </c>
      <c r="B57" s="3" t="inlineStr">
        <is>
          <t>Workforce/Walks</t>
        </is>
      </c>
      <c r="C57" s="3" t="inlineStr">
        <is>
          <t>Site Participation %</t>
        </is>
      </c>
      <c r="D57" s="3" t="inlineStr">
        <is>
          <t>Sites with incidents or near_misses ÷ Total sites × 100</t>
        </is>
      </c>
      <c r="E57" s="3" t="inlineStr">
        <is>
          <t>active_sites=1 / total_sites=1 = 100%</t>
        </is>
      </c>
      <c r="F57" s="3" t="inlineStr">
        <is>
          <t>/engagement</t>
        </is>
      </c>
      <c r="G57" s="5" t="inlineStr">
        <is>
          <t>✅ Applied</t>
        </is>
      </c>
    </row>
    <row r="58" ht="52" customHeight="1">
      <c r="A58" s="3" t="n">
        <v>52</v>
      </c>
      <c r="B58" s="3" t="inlineStr">
        <is>
          <t>Workforce/Walks</t>
        </is>
      </c>
      <c r="C58" s="3" t="inlineStr">
        <is>
          <t>Training Compliance (Module 3)</t>
        </is>
      </c>
      <c r="D58" s="3" t="inlineStr">
        <is>
          <t>Completed trainings ÷ Total required trainings × 100</t>
        </is>
      </c>
      <c r="E58" s="3" t="inlineStr">
        <is>
          <t>No training_records/completion table in DB (only training_programs master list)</t>
        </is>
      </c>
      <c r="F58" s="3" t="inlineStr">
        <is>
          <t>—</t>
        </is>
      </c>
      <c r="G58" s="4" t="inlineStr">
        <is>
          <t>❌ Data Gap</t>
        </is>
      </c>
    </row>
    <row r="59" ht="52" customHeight="1">
      <c r="A59" s="3" t="n">
        <v>53</v>
      </c>
      <c r="B59" s="3" t="inlineStr">
        <is>
          <t>Workforce/Walks</t>
        </is>
      </c>
      <c r="C59" s="3" t="inlineStr">
        <is>
          <t>Competency Pass Rate</t>
        </is>
      </c>
      <c r="D59" s="3" t="inlineStr">
        <is>
          <t>Employees with valid competency ÷ Total employees × 100</t>
        </is>
      </c>
      <c r="E59" s="3" t="inlineStr">
        <is>
          <t>Proxy: employees without recent incident &amp; with induction = 'compliant'</t>
        </is>
      </c>
      <c r="F59" s="3" t="inlineStr">
        <is>
          <t>/users (People page)</t>
        </is>
      </c>
      <c r="G59" s="5" t="inlineStr">
        <is>
          <t>✅ Applied</t>
        </is>
      </c>
    </row>
    <row r="60" ht="20" customHeight="1">
      <c r="A60" s="2" t="inlineStr">
        <is>
          <t xml:space="preserve">  MODULE 5 — CONTRACTORS &amp; VENDORS</t>
        </is>
      </c>
    </row>
    <row r="61" ht="52" customHeight="1">
      <c r="A61" s="3" t="n">
        <v>54</v>
      </c>
      <c r="B61" s="3" t="inlineStr">
        <is>
          <t>M5 - Contractors</t>
        </is>
      </c>
      <c r="C61" s="3" t="inlineStr">
        <is>
          <t>Contractor Safety Score / Risk Score</t>
        </is>
      </c>
      <c r="D61" s="3" t="inlineStr">
        <is>
          <t>10 − (incident_rate × 3.0) — all-time incidents</t>
        </is>
      </c>
      <c r="E61" s="3" t="inlineStr">
        <is>
          <t>FIXED: was using 90-day window (= 10.0 always); now uses all-time</t>
        </is>
      </c>
      <c r="F61" s="3" t="inlineStr">
        <is>
          <t>/vendors</t>
        </is>
      </c>
      <c r="G61" s="6" t="inlineStr">
        <is>
          <t>🔧 Fixed</t>
        </is>
      </c>
    </row>
    <row r="62" ht="52" customHeight="1">
      <c r="A62" s="3" t="n">
        <v>55</v>
      </c>
      <c r="B62" s="3" t="inlineStr">
        <is>
          <t>M5 - Contractors</t>
        </is>
      </c>
      <c r="C62" s="3" t="inlineStr">
        <is>
          <t>Contractor Compliance Breakdown</t>
        </is>
      </c>
      <c r="D62" s="3" t="inlineStr">
        <is>
          <t>Compliant / Non-Compliant / Pending % of contractors</t>
        </is>
      </c>
      <c r="E62" s="3" t="inlineStr">
        <is>
          <t>FIXED: was 90-day window → 0% non-compliant; now all-time incidents</t>
        </is>
      </c>
      <c r="F62" s="3" t="inlineStr">
        <is>
          <t>/vendors</t>
        </is>
      </c>
      <c r="G62" s="6" t="inlineStr">
        <is>
          <t>🔧 Fixed</t>
        </is>
      </c>
    </row>
    <row r="63" ht="52" customHeight="1">
      <c r="A63" s="3" t="n">
        <v>56</v>
      </c>
      <c r="B63" s="3" t="inlineStr">
        <is>
          <t>M5 - Contractors</t>
        </is>
      </c>
      <c r="C63" s="3" t="inlineStr">
        <is>
          <t>High Risk Contractors</t>
        </is>
      </c>
      <c r="D63" s="3" t="inlineStr">
        <is>
          <t>Contractors with most incidents (predictive ranking)</t>
        </is>
      </c>
      <c r="E63" s="3" t="inlineStr">
        <is>
          <t>FIXED: was 90-day filter → empty; now all-time incidents</t>
        </is>
      </c>
      <c r="F63" s="3" t="inlineStr">
        <is>
          <t>/vendors</t>
        </is>
      </c>
      <c r="G63" s="6" t="inlineStr">
        <is>
          <t>🔧 Fixed</t>
        </is>
      </c>
    </row>
    <row r="64" ht="52" customHeight="1">
      <c r="A64" s="3" t="n">
        <v>57</v>
      </c>
      <c r="B64" s="3" t="inlineStr">
        <is>
          <t>M5 - Contractors</t>
        </is>
      </c>
      <c r="C64" s="3" t="inlineStr">
        <is>
          <t>Contractor Watchlist</t>
        </is>
      </c>
      <c r="D64" s="3" t="inlineStr">
        <is>
          <t>Contractors with Fatal/Significant/Serious severity incidents</t>
        </is>
      </c>
      <c r="E64" s="3" t="inlineStr">
        <is>
          <t>FIXED: was filtering 'High/Critical/Major' (not in DB); now matches actual DB values</t>
        </is>
      </c>
      <c r="F64" s="3" t="inlineStr">
        <is>
          <t>/vendors</t>
        </is>
      </c>
      <c r="G64" s="6" t="inlineStr">
        <is>
          <t>🔧 Fixed</t>
        </is>
      </c>
    </row>
    <row r="65" ht="52" customHeight="1">
      <c r="A65" s="3" t="n">
        <v>58</v>
      </c>
      <c r="B65" s="3" t="inlineStr">
        <is>
          <t>M5 - Contractors</t>
        </is>
      </c>
      <c r="C65" s="3" t="inlineStr">
        <is>
          <t>Repeat Breaches</t>
        </is>
      </c>
      <c r="D65" s="3" t="inlineStr">
        <is>
          <t>Contractors with &gt; 1 incident (all-time)</t>
        </is>
      </c>
      <c r="E65" s="3" t="inlineStr">
        <is>
          <t>JOIN incidents, GROUP BY employee, HAVING COUNT &gt; 1</t>
        </is>
      </c>
      <c r="F65" s="3" t="inlineStr">
        <is>
          <t>/vendors</t>
        </is>
      </c>
      <c r="G65" s="5" t="inlineStr">
        <is>
          <t>✅ Applied</t>
        </is>
      </c>
    </row>
    <row r="66" ht="52" customHeight="1">
      <c r="A66" s="3" t="n">
        <v>59</v>
      </c>
      <c r="B66" s="3" t="inlineStr">
        <is>
          <t>M5 - Contractors</t>
        </is>
      </c>
      <c r="C66" s="3" t="inlineStr">
        <is>
          <t>Permit Violations (Contractor)</t>
        </is>
      </c>
      <c r="D66" s="3" t="inlineStr">
        <is>
          <t>Active permits with deviation_reported='Yes' by contractor employees</t>
        </is>
      </c>
      <c r="E66" s="3" t="inlineStr">
        <is>
          <t>JOIN employees (employment_type ILIKE contractor), deviation_reported='Yes'</t>
        </is>
      </c>
      <c r="F66" s="3" t="inlineStr">
        <is>
          <t>/vendors</t>
        </is>
      </c>
      <c r="G66" s="5" t="inlineStr">
        <is>
          <t>✅ Applied</t>
        </is>
      </c>
    </row>
    <row r="67" ht="52" customHeight="1">
      <c r="A67" s="3" t="n">
        <v>60</v>
      </c>
      <c r="B67" s="3" t="inlineStr">
        <is>
          <t>M5 - Contractors</t>
        </is>
      </c>
      <c r="C67" s="3" t="inlineStr">
        <is>
          <t>Contractor Induction Compliance</t>
        </is>
      </c>
      <c r="D67" s="3" t="inlineStr">
        <is>
          <t>Contractors with induction_date ÷ Total contractors × 100</t>
        </is>
      </c>
      <c r="E67" s="3" t="inlineStr">
        <is>
          <t>No separate induction table; proxy: induction_date IS NOT NULL on employees</t>
        </is>
      </c>
      <c r="F67" s="3" t="inlineStr">
        <is>
          <t>/vendors</t>
        </is>
      </c>
      <c r="G67" s="5" t="inlineStr">
        <is>
          <t>✅ Applied</t>
        </is>
      </c>
    </row>
    <row r="68" ht="52" customHeight="1">
      <c r="A68" s="3" t="n">
        <v>61</v>
      </c>
      <c r="B68" s="3" t="inlineStr">
        <is>
          <t>M5 - Contractors</t>
        </is>
      </c>
      <c r="C68" s="3" t="inlineStr">
        <is>
          <t>Contractor TRIR</t>
        </is>
      </c>
      <c r="D68" s="3" t="inlineStr">
        <is>
          <t>(Contractor recordables × 200,000) ÷ Contractor man-hours</t>
        </is>
      </c>
      <c r="E68" s="3" t="inlineStr">
        <is>
          <t>No man-hours for org_id=1 in shift_schedule</t>
        </is>
      </c>
      <c r="F68" s="3" t="inlineStr">
        <is>
          <t>—</t>
        </is>
      </c>
      <c r="G68" s="4" t="inlineStr">
        <is>
          <t>❌ Data Gap</t>
        </is>
      </c>
    </row>
    <row r="69" ht="20" customHeight="1">
      <c r="A69" s="2" t="inlineStr">
        <is>
          <t xml:space="preserve">  SETTINGS &amp; ORGANISATION</t>
        </is>
      </c>
    </row>
    <row r="70" ht="52" customHeight="1">
      <c r="A70" s="3" t="n">
        <v>62</v>
      </c>
      <c r="B70" s="3" t="inlineStr">
        <is>
          <t>Settings</t>
        </is>
      </c>
      <c r="C70" s="3" t="inlineStr">
        <is>
          <t>Organisation Profile</t>
        </is>
      </c>
      <c r="D70" s="3" t="inlineStr">
        <is>
          <t>organisation table: name, country, industry, HQ, employees, ISO status</t>
        </is>
      </c>
      <c r="E70" s="3" t="inlineStr">
        <is>
          <t>FIXED: was static hardcoded; now GET /organisations/me → real DB data</t>
        </is>
      </c>
      <c r="F70" s="3" t="inlineStr">
        <is>
          <t>/settings (General tab)</t>
        </is>
      </c>
      <c r="G70" s="6" t="inlineStr">
        <is>
          <t>🔧 Fixed</t>
        </is>
      </c>
    </row>
    <row r="71" ht="52" customHeight="1">
      <c r="A71" s="3" t="n">
        <v>63</v>
      </c>
      <c r="B71" s="3" t="inlineStr">
        <is>
          <t>Settings</t>
        </is>
      </c>
      <c r="C71" s="3" t="inlineStr">
        <is>
          <t>PUT Organisation</t>
        </is>
      </c>
      <c r="D71" s="3" t="inlineStr">
        <is>
          <t>Update org fields via PUT /organisations/{id}</t>
        </is>
      </c>
      <c r="E71" s="3" t="inlineStr">
        <is>
          <t>Added GET /organisations/me endpoint; Save button calls PUT /organisations/{id}</t>
        </is>
      </c>
      <c r="F71" s="3" t="inlineStr">
        <is>
          <t>/settings (General tab)</t>
        </is>
      </c>
      <c r="G71" s="6" t="inlineStr">
        <is>
          <t>🔧 Fixed</t>
        </is>
      </c>
    </row>
    <row r="72" ht="20" customHeight="1">
      <c r="A72" s="2" t="inlineStr">
        <is>
          <t xml:space="preserve">  DATA MANAGEMENT</t>
        </is>
      </c>
    </row>
    <row r="73" ht="52" customHeight="1">
      <c r="A73" s="3" t="n">
        <v>64</v>
      </c>
      <c r="B73" s="3" t="inlineStr">
        <is>
          <t>Data Management</t>
        </is>
      </c>
      <c r="C73" s="3" t="inlineStr">
        <is>
          <t>Import History</t>
        </is>
      </c>
      <c r="D73" s="3" t="inlineStr">
        <is>
          <t>data_imports table — file_name, data_type, records, status, uploaded_by</t>
        </is>
      </c>
      <c r="E73" s="3" t="inlineStr">
        <is>
          <t>GET /org-admin/data-management/imports → 15 real records for org_id=1</t>
        </is>
      </c>
      <c r="F73" s="3" t="inlineStr">
        <is>
          <t>/data-management</t>
        </is>
      </c>
      <c r="G73" s="5" t="inlineStr">
        <is>
          <t>✅ Applied</t>
        </is>
      </c>
    </row>
    <row r="74" ht="52" customHeight="1">
      <c r="A74" s="3" t="n">
        <v>65</v>
      </c>
      <c r="B74" s="3" t="inlineStr">
        <is>
          <t>Data Management</t>
        </is>
      </c>
      <c r="C74" s="3" t="inlineStr">
        <is>
          <t>Validation Logs</t>
        </is>
      </c>
      <c r="D74" s="3" t="inlineStr">
        <is>
          <t>validation_logs table — rule, status, records_affected, message</t>
        </is>
      </c>
      <c r="E74" s="3" t="inlineStr">
        <is>
          <t>GET /org-admin/data-management/validation-logs → 15 real records</t>
        </is>
      </c>
      <c r="F74" s="3" t="inlineStr">
        <is>
          <t>/data-management</t>
        </is>
      </c>
      <c r="G74" s="5" t="inlineStr">
        <is>
          <t>✅ Applied</t>
        </is>
      </c>
    </row>
    <row r="75" ht="52" customHeight="1">
      <c r="A75" s="3" t="n">
        <v>66</v>
      </c>
      <c r="B75" s="3" t="inlineStr">
        <is>
          <t>Data Management</t>
        </is>
      </c>
      <c r="C75" s="3" t="inlineStr">
        <is>
          <t>Hazard Name Field (AI Import)</t>
        </is>
      </c>
      <c r="D75" s="3" t="inlineStr">
        <is>
          <t>hazard_name field in hazards table</t>
        </is>
      </c>
      <c r="E75" s="3" t="inlineStr">
        <is>
          <t>FIXED: AI Import section was sending key='title'; backend expects 'hazard_name'</t>
        </is>
      </c>
      <c r="F75" s="3" t="inlineStr">
        <is>
          <t>/data-management (Import Data tab)</t>
        </is>
      </c>
      <c r="G75" s="6" t="inlineStr">
        <is>
          <t>🔧 Fixed</t>
        </is>
      </c>
    </row>
    <row r="76" ht="52" customHeight="1">
      <c r="A76" s="3" t="n">
        <v>67</v>
      </c>
      <c r="B76" s="3" t="inlineStr">
        <is>
          <t>Data Management</t>
        </is>
      </c>
      <c r="C76" s="3" t="inlineStr">
        <is>
          <t>Compliance Standards Import</t>
        </is>
      </c>
      <c r="D76" s="3" t="inlineStr">
        <is>
          <t>compliance_standards module maps to policies table</t>
        </is>
      </c>
      <c r="E76" s="3" t="inlineStr">
        <is>
          <t>FIXED: was returning 'Unknown module'; now mapped to _insert_policies in stubs.py</t>
        </is>
      </c>
      <c r="F76" s="3" t="inlineStr">
        <is>
          <t>/data-management (Import Data tab)</t>
        </is>
      </c>
      <c r="G76" s="6" t="inlineStr">
        <is>
          <t>🔧 Fixed</t>
        </is>
      </c>
    </row>
    <row r="78">
      <c r="A78" s="7" t="inlineStr">
        <is>
          <t>LEGEND</t>
        </is>
      </c>
    </row>
    <row r="79" ht="18" customHeight="1">
      <c r="A79" s="5" t="inlineStr">
        <is>
          <t>✅ Applied</t>
        </is>
      </c>
      <c r="B79" s="8" t="inlineStr">
        <is>
          <t>Formula implemented correctly in backend, matches client spec</t>
        </is>
      </c>
    </row>
    <row r="80" ht="18" customHeight="1">
      <c r="A80" s="6" t="inlineStr">
        <is>
          <t>🔧 Fixed</t>
        </is>
      </c>
      <c r="B80" s="8" t="inlineStr">
        <is>
          <t>Bug found during audit — formula was wrong, now corrected</t>
        </is>
      </c>
    </row>
    <row r="81" ht="18" customHeight="1">
      <c r="A81" s="4" t="inlineStr">
        <is>
          <t>❌ Data Gap</t>
        </is>
      </c>
      <c r="B81" s="8" t="inlineStr">
        <is>
          <t>Formula cannot be computed — required data not in database</t>
        </is>
      </c>
    </row>
    <row r="82" ht="18" customHeight="1">
      <c r="A82" s="9" t="inlineStr">
        <is>
          <t>N/A</t>
        </is>
      </c>
      <c r="B82" s="8" t="inlineStr">
        <is>
          <t>Not applicable for this KPI</t>
        </is>
      </c>
    </row>
  </sheetData>
  <mergeCells count="13">
    <mergeCell ref="B80:G80"/>
    <mergeCell ref="A60:G60"/>
    <mergeCell ref="B81:G81"/>
    <mergeCell ref="A18:G18"/>
    <mergeCell ref="A31:G31"/>
    <mergeCell ref="A69:G69"/>
    <mergeCell ref="B79:G79"/>
    <mergeCell ref="A78:G78"/>
    <mergeCell ref="A2:G2"/>
    <mergeCell ref="A72:G72"/>
    <mergeCell ref="A43:G43"/>
    <mergeCell ref="B82:G82"/>
    <mergeCell ref="A51:G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8" customHeight="1">
      <c r="A1" s="10" t="inlineStr">
        <is>
          <t>Category</t>
        </is>
      </c>
      <c r="B1" s="10" t="inlineStr">
        <is>
          <t>Count</t>
        </is>
      </c>
    </row>
    <row r="2" ht="22" customHeight="1">
      <c r="A2" s="11" t="inlineStr">
        <is>
          <t>✅ Applied Correctly</t>
        </is>
      </c>
      <c r="B2" s="12" t="n">
        <v>41</v>
      </c>
    </row>
    <row r="3" ht="22" customHeight="1">
      <c r="A3" s="13" t="inlineStr">
        <is>
          <t>🔧 Fixed During Audit</t>
        </is>
      </c>
      <c r="B3" s="14" t="n">
        <v>12</v>
      </c>
    </row>
    <row r="4" ht="22" customHeight="1">
      <c r="A4" s="15" t="inlineStr">
        <is>
          <t>❌ Data Gap (DB missing)</t>
        </is>
      </c>
      <c r="B4" s="16" t="n">
        <v>14</v>
      </c>
    </row>
    <row r="5" ht="22" customHeight="1">
      <c r="A5" s="17" t="inlineStr">
        <is>
          <t>Total KPIs Audited</t>
        </is>
      </c>
      <c r="B5" s="1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2026-07-04T20:14:53Z</dcterms:created>
  <dcterms:modified xsi:type="dcterms:W3CDTF">2026-07-04T20:14:53Z</dcterms:modified>
</cp:coreProperties>
</file>